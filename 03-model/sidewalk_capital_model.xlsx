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NPV" sheetId="2" state="visible" r:id="rId2"/>
    <sheet name="OUTPUT" sheetId="3" state="visible" r:id="rId3"/>
    <sheet name="CLAIMS" sheetId="4" state="visible" r:id="rId4"/>
    <sheet name="OPTIONS" sheetId="5" state="visible" r:id="rId5"/>
    <sheet name="SENSITIV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26" customWidth="1" min="5" max="5"/>
  </cols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</t>
        </is>
      </c>
      <c r="D1" t="inlineStr">
        <is>
          <t>Log ID</t>
        </is>
      </c>
      <c r="E1" t="inlineStr">
        <is>
          <t>Rating</t>
        </is>
      </c>
      <c r="G1" t="inlineStr">
        <is>
          <t>Rule: no hardcoded numbers outside this tab.</t>
        </is>
      </c>
    </row>
    <row r="2">
      <c r="A2" t="inlineStr">
        <is>
          <t>Baseline annual claims cost (real $)</t>
        </is>
      </c>
      <c r="B2" s="1" t="n">
        <v>2500000</v>
      </c>
      <c r="C2" t="inlineStr">
        <is>
          <t>$/yr</t>
        </is>
      </c>
      <c r="D2" t="inlineStr">
        <is>
          <t>L1</t>
        </is>
      </c>
      <c r="E2" t="inlineStr">
        <is>
          <t>SOURCED</t>
        </is>
      </c>
    </row>
    <row r="3">
      <c r="A3" t="inlineStr">
        <is>
          <t>Average payment per claim</t>
        </is>
      </c>
      <c r="B3" s="1" t="n">
        <v>53000</v>
      </c>
      <c r="C3" t="inlineStr">
        <is>
          <t>$/claim</t>
        </is>
      </c>
      <c r="D3" t="inlineStr">
        <is>
          <t>L2</t>
        </is>
      </c>
      <c r="E3" t="inlineStr">
        <is>
          <t>SOURCED</t>
        </is>
      </c>
    </row>
    <row r="4">
      <c r="A4" t="inlineStr">
        <is>
          <t>Annual CIP replacement need</t>
        </is>
      </c>
      <c r="B4" s="1" t="n">
        <v>16100000</v>
      </c>
      <c r="C4" t="inlineStr">
        <is>
          <t>$/yr</t>
        </is>
      </c>
      <c r="D4" t="inlineStr">
        <is>
          <t>V1</t>
        </is>
      </c>
      <c r="E4" t="inlineStr">
        <is>
          <t>SOURCED</t>
        </is>
      </c>
    </row>
    <row r="5">
      <c r="A5" t="inlineStr">
        <is>
          <t>Actual avg CIP investment (FY18-24)</t>
        </is>
      </c>
      <c r="B5" s="1" t="n">
        <v>1570000</v>
      </c>
      <c r="C5" t="inlineStr">
        <is>
          <t>$/yr</t>
        </is>
      </c>
      <c r="D5" t="inlineStr">
        <is>
          <t>V2</t>
        </is>
      </c>
      <c r="E5" t="inlineStr">
        <is>
          <t>SOURCED</t>
        </is>
      </c>
    </row>
    <row r="6">
      <c r="A6" t="inlineStr">
        <is>
          <t>City share of repair responsibility</t>
        </is>
      </c>
      <c r="B6" s="1" t="n">
        <v>0.5</v>
      </c>
      <c r="C6" t="inlineStr">
        <is>
          <t>share</t>
        </is>
      </c>
      <c r="D6" t="inlineStr">
        <is>
          <t>B3</t>
        </is>
      </c>
      <c r="E6" t="inlineStr">
        <is>
          <t>SOURCED (TD estimate)</t>
        </is>
      </c>
    </row>
    <row r="7">
      <c r="A7" t="inlineStr">
        <is>
          <t>Hazard population (2014-15 assessment)</t>
        </is>
      </c>
      <c r="B7" s="1" t="n">
        <v>85000</v>
      </c>
      <c r="C7" t="inlineStr">
        <is>
          <t>locations</t>
        </is>
      </c>
      <c r="D7" t="inlineStr">
        <is>
          <t>B1</t>
        </is>
      </c>
      <c r="E7" t="inlineStr">
        <is>
          <t>SOURCED</t>
        </is>
      </c>
    </row>
    <row r="8">
      <c r="A8" t="inlineStr">
        <is>
          <t>City-responsibility replacement backlog</t>
        </is>
      </c>
      <c r="B8" s="1" t="n">
        <v>8500</v>
      </c>
      <c r="C8" t="inlineStr">
        <is>
          <t>locations</t>
        </is>
      </c>
      <c r="D8" t="inlineStr">
        <is>
          <t>B2</t>
        </is>
      </c>
      <c r="E8" t="inlineStr">
        <is>
          <t>SOURCED (midpoint 8-9K)</t>
        </is>
      </c>
    </row>
    <row r="9">
      <c r="A9" t="inlineStr">
        <is>
          <t>Ramping capacity unit cost (4 rampers FY24)</t>
        </is>
      </c>
      <c r="B9" s="1" t="n">
        <v>900000</v>
      </c>
      <c r="C9" t="inlineStr">
        <is>
          <t>$</t>
        </is>
      </c>
      <c r="D9" t="inlineStr">
        <is>
          <t>B5</t>
        </is>
      </c>
      <c r="E9" t="inlineStr">
        <is>
          <t>SOURCED</t>
        </is>
      </c>
    </row>
    <row r="10">
      <c r="A10" t="inlineStr">
        <is>
          <t>Mitigation effectiveness (claims avoided at full rollout)</t>
        </is>
      </c>
      <c r="B10" s="1" t="n">
        <v>0.3</v>
      </c>
      <c r="C10" t="inlineStr">
        <is>
          <t>share</t>
        </is>
      </c>
      <c r="D10" t="inlineStr">
        <is>
          <t>E1</t>
        </is>
      </c>
      <c r="E10" s="2" t="inlineStr">
        <is>
          <t>ESTIMATE - PLACEHOLDER</t>
        </is>
      </c>
    </row>
    <row r="11">
      <c r="A11" t="inlineStr">
        <is>
          <t>Cost per location mitigated (ramp/slice)</t>
        </is>
      </c>
      <c r="B11" s="1" t="n">
        <v>300</v>
      </c>
      <c r="C11" t="inlineStr">
        <is>
          <t>$/location</t>
        </is>
      </c>
      <c r="D11" t="inlineStr">
        <is>
          <t>E1b</t>
        </is>
      </c>
      <c r="E11" s="2" t="inlineStr">
        <is>
          <t>ESTIMATE - PLACEHOLDER</t>
        </is>
      </c>
    </row>
    <row r="12">
      <c r="A12" t="inlineStr">
        <is>
          <t>Option B target rollout (share of hazards mitigated)</t>
        </is>
      </c>
      <c r="B12" s="1" t="n">
        <v>0.6</v>
      </c>
      <c r="C12" t="inlineStr">
        <is>
          <t>share</t>
        </is>
      </c>
      <c r="D12" t="inlineStr">
        <is>
          <t>MB1</t>
        </is>
      </c>
      <c r="E12" s="2" t="inlineStr">
        <is>
          <t>ESTIMATE - policy lever</t>
        </is>
      </c>
    </row>
    <row r="13">
      <c r="A13" t="inlineStr">
        <is>
          <t>Option C funding level (share of V1 need)</t>
        </is>
      </c>
      <c r="B13" s="1" t="n">
        <v>1</v>
      </c>
      <c r="C13" t="inlineStr">
        <is>
          <t>share</t>
        </is>
      </c>
      <c r="D13" t="inlineStr">
        <is>
          <t>MC1</t>
        </is>
      </c>
      <c r="E13" s="2" t="inlineStr">
        <is>
          <t>ESTIMATE - policy lever</t>
        </is>
      </c>
    </row>
    <row r="14">
      <c r="A14" t="inlineStr">
        <is>
          <t>Replacement claims-reduction at full backlog clear</t>
        </is>
      </c>
      <c r="B14" s="1" t="n">
        <v>0.5</v>
      </c>
      <c r="C14" t="inlineStr">
        <is>
          <t>share</t>
        </is>
      </c>
      <c r="D14" t="inlineStr">
        <is>
          <t>MC2</t>
        </is>
      </c>
      <c r="E14" s="2" t="inlineStr">
        <is>
          <t>ESTIMATE - PLACEHOLDER</t>
        </is>
      </c>
    </row>
    <row r="15">
      <c r="A15" t="inlineStr">
        <is>
          <t>Real discount rate</t>
        </is>
      </c>
      <c r="B15" s="1" t="n">
        <v>0.03</v>
      </c>
      <c r="C15" t="inlineStr">
        <is>
          <t>rate</t>
        </is>
      </c>
      <c r="D15" t="inlineStr">
        <is>
          <t>F1</t>
        </is>
      </c>
      <c r="E15" s="2" t="inlineStr">
        <is>
          <t>ESTIMATE - TO VERIFY</t>
        </is>
      </c>
    </row>
    <row r="16">
      <c r="A16" t="inlineStr">
        <is>
          <t>Horizon</t>
        </is>
      </c>
      <c r="B16" s="1" t="n">
        <v>10</v>
      </c>
      <c r="C16" t="inlineStr">
        <is>
          <t>years</t>
        </is>
      </c>
      <c r="D16" t="inlineStr">
        <is>
          <t>F2</t>
        </is>
      </c>
      <c r="E16" s="2" t="inlineStr">
        <is>
          <t>ESTIMATE</t>
        </is>
      </c>
    </row>
    <row r="17">
      <c r="A17" t="inlineStr">
        <is>
          <t>Total sidewalk capital need (FY25-29 outlook)</t>
        </is>
      </c>
      <c r="B17" s="1" t="n">
        <v>104000000</v>
      </c>
      <c r="C17" t="inlineStr">
        <is>
          <t>$</t>
        </is>
      </c>
      <c r="D17" t="inlineStr">
        <is>
          <t>V3</t>
        </is>
      </c>
      <c r="E17" t="inlineStr">
        <is>
          <t>SOURCED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DiscFactor</t>
        </is>
      </c>
      <c r="C1" t="inlineStr">
        <is>
          <t>Claims_A</t>
        </is>
      </c>
      <c r="D1" t="inlineStr">
        <is>
          <t>Outlay_B</t>
        </is>
      </c>
      <c r="E1" t="inlineStr">
        <is>
          <t>Claims_B</t>
        </is>
      </c>
      <c r="F1" t="inlineStr">
        <is>
          <t>Net_B_vs_A</t>
        </is>
      </c>
      <c r="G1" t="inlineStr">
        <is>
          <t>PV_B</t>
        </is>
      </c>
      <c r="H1" t="inlineStr">
        <is>
          <t>Outlay_C</t>
        </is>
      </c>
      <c r="I1" t="inlineStr">
        <is>
          <t>CumClearShare_C</t>
        </is>
      </c>
      <c r="J1" t="inlineStr">
        <is>
          <t>Claims_C</t>
        </is>
      </c>
      <c r="K1" t="inlineStr">
        <is>
          <t>Net_C_vs_A</t>
        </is>
      </c>
      <c r="L1" t="inlineStr">
        <is>
          <t>PV_C</t>
        </is>
      </c>
      <c r="N1" t="inlineStr">
        <is>
          <t>NPV Option B vs A:</t>
        </is>
      </c>
      <c r="O1">
        <f>SUM($G$2:$G$21)</f>
        <v/>
      </c>
    </row>
    <row r="2">
      <c r="A2" t="n">
        <v>1</v>
      </c>
      <c r="B2">
        <f>IF($A2&lt;=INPUTS!$B$16,1/(1+INPUTS!$B$15)^$A2,0)</f>
        <v/>
      </c>
      <c r="C2">
        <f>IF($B2=0,0,INPUTS!$B$2)</f>
        <v/>
      </c>
      <c r="D2">
        <f>IF(AND($B2&gt;0,$A2&lt;=3),INPUTS!$B$12*INPUTS!$B$7*INPUTS!$B$11/3,0)</f>
        <v/>
      </c>
      <c r="E2">
        <f>IF($B2=0,0,INPUTS!$B$2*(1-MIN($A2/3,1)*INPUTS!$B$12*INPUTS!$B$10))</f>
        <v/>
      </c>
      <c r="F2">
        <f>($C2-$E2)-$D2</f>
        <v/>
      </c>
      <c r="G2">
        <f>$F2*$B2</f>
        <v/>
      </c>
      <c r="H2">
        <f>IF($B2=0,0,MAX(0,INPUTS!$B$13*INPUTS!$B$4-INPUTS!$B$5))</f>
        <v/>
      </c>
      <c r="I2">
        <f>MIN(1,SUM($H$2:$H2)/INPUTS!$B$17)</f>
        <v/>
      </c>
      <c r="J2">
        <f>IF($B2=0,0,INPUTS!$B$2*(1-$I2*INPUTS!$B$14))</f>
        <v/>
      </c>
      <c r="K2">
        <f>($C2-$J2)-$H2</f>
        <v/>
      </c>
      <c r="L2">
        <f>$K2*$B2</f>
        <v/>
      </c>
      <c r="N2" t="inlineStr">
        <is>
          <t>NPV Option C vs A:</t>
        </is>
      </c>
      <c r="O2">
        <f>SUM($L$2:$L$21)</f>
        <v/>
      </c>
    </row>
    <row r="3">
      <c r="A3" t="n">
        <v>2</v>
      </c>
      <c r="B3">
        <f>IF($A3&lt;=INPUTS!$B$16,1/(1+INPUTS!$B$15)^$A3,0)</f>
        <v/>
      </c>
      <c r="C3">
        <f>IF($B3=0,0,INPUTS!$B$2)</f>
        <v/>
      </c>
      <c r="D3">
        <f>IF(AND($B3&gt;0,$A3&lt;=3),INPUTS!$B$12*INPUTS!$B$7*INPUTS!$B$11/3,0)</f>
        <v/>
      </c>
      <c r="E3">
        <f>IF($B3=0,0,INPUTS!$B$2*(1-MIN($A3/3,1)*INPUTS!$B$12*INPUTS!$B$10))</f>
        <v/>
      </c>
      <c r="F3">
        <f>($C3-$E3)-$D3</f>
        <v/>
      </c>
      <c r="G3">
        <f>$F3*$B3</f>
        <v/>
      </c>
      <c r="H3">
        <f>IF($B3=0,0,MAX(0,INPUTS!$B$13*INPUTS!$B$4-INPUTS!$B$5))</f>
        <v/>
      </c>
      <c r="I3">
        <f>MIN(1,SUM($H$2:$H3)/INPUTS!$B$17)</f>
        <v/>
      </c>
      <c r="J3">
        <f>IF($B3=0,0,INPUTS!$B$2*(1-$I3*INPUTS!$B$14))</f>
        <v/>
      </c>
      <c r="K3">
        <f>($C3-$J3)-$H3</f>
        <v/>
      </c>
      <c r="L3">
        <f>$K3*$B3</f>
        <v/>
      </c>
    </row>
    <row r="4">
      <c r="A4" t="n">
        <v>3</v>
      </c>
      <c r="B4">
        <f>IF($A4&lt;=INPUTS!$B$16,1/(1+INPUTS!$B$15)^$A4,0)</f>
        <v/>
      </c>
      <c r="C4">
        <f>IF($B4=0,0,INPUTS!$B$2)</f>
        <v/>
      </c>
      <c r="D4">
        <f>IF(AND($B4&gt;0,$A4&lt;=3),INPUTS!$B$12*INPUTS!$B$7*INPUTS!$B$11/3,0)</f>
        <v/>
      </c>
      <c r="E4">
        <f>IF($B4=0,0,INPUTS!$B$2*(1-MIN($A4/3,1)*INPUTS!$B$12*INPUTS!$B$10))</f>
        <v/>
      </c>
      <c r="F4">
        <f>($C4-$E4)-$D4</f>
        <v/>
      </c>
      <c r="G4">
        <f>$F4*$B4</f>
        <v/>
      </c>
      <c r="H4">
        <f>IF($B4=0,0,MAX(0,INPUTS!$B$13*INPUTS!$B$4-INPUTS!$B$5))</f>
        <v/>
      </c>
      <c r="I4">
        <f>MIN(1,SUM($H$2:$H4)/INPUTS!$B$17)</f>
        <v/>
      </c>
      <c r="J4">
        <f>IF($B4=0,0,INPUTS!$B$2*(1-$I4*INPUTS!$B$14))</f>
        <v/>
      </c>
      <c r="K4">
        <f>($C4-$J4)-$H4</f>
        <v/>
      </c>
      <c r="L4">
        <f>$K4*$B4</f>
        <v/>
      </c>
      <c r="N4" t="inlineStr">
        <is>
          <t>Option B rollout spends over years 1-3; claims effect phases in with completion. Upkeep/re-mitigation not yet modeled - log it.</t>
        </is>
      </c>
    </row>
    <row r="5">
      <c r="A5" t="n">
        <v>4</v>
      </c>
      <c r="B5">
        <f>IF($A5&lt;=INPUTS!$B$16,1/(1+INPUTS!$B$15)^$A5,0)</f>
        <v/>
      </c>
      <c r="C5">
        <f>IF($B5=0,0,INPUTS!$B$2)</f>
        <v/>
      </c>
      <c r="D5">
        <f>IF(AND($B5&gt;0,$A5&lt;=3),INPUTS!$B$12*INPUTS!$B$7*INPUTS!$B$11/3,0)</f>
        <v/>
      </c>
      <c r="E5">
        <f>IF($B5=0,0,INPUTS!$B$2*(1-MIN($A5/3,1)*INPUTS!$B$12*INPUTS!$B$10))</f>
        <v/>
      </c>
      <c r="F5">
        <f>($C5-$E5)-$D5</f>
        <v/>
      </c>
      <c r="G5">
        <f>$F5*$B5</f>
        <v/>
      </c>
      <c r="H5">
        <f>IF($B5=0,0,MAX(0,INPUTS!$B$13*INPUTS!$B$4-INPUTS!$B$5))</f>
        <v/>
      </c>
      <c r="I5">
        <f>MIN(1,SUM($H$2:$H5)/INPUTS!$B$17)</f>
        <v/>
      </c>
      <c r="J5">
        <f>IF($B5=0,0,INPUTS!$B$2*(1-$I5*INPUTS!$B$14))</f>
        <v/>
      </c>
      <c r="K5">
        <f>($C5-$J5)-$H5</f>
        <v/>
      </c>
      <c r="L5">
        <f>$K5*$B5</f>
        <v/>
      </c>
    </row>
    <row r="6">
      <c r="A6" t="n">
        <v>5</v>
      </c>
      <c r="B6">
        <f>IF($A6&lt;=INPUTS!$B$16,1/(1+INPUTS!$B$15)^$A6,0)</f>
        <v/>
      </c>
      <c r="C6">
        <f>IF($B6=0,0,INPUTS!$B$2)</f>
        <v/>
      </c>
      <c r="D6">
        <f>IF(AND($B6&gt;0,$A6&lt;=3),INPUTS!$B$12*INPUTS!$B$7*INPUTS!$B$11/3,0)</f>
        <v/>
      </c>
      <c r="E6">
        <f>IF($B6=0,0,INPUTS!$B$2*(1-MIN($A6/3,1)*INPUTS!$B$12*INPUTS!$B$10))</f>
        <v/>
      </c>
      <c r="F6">
        <f>($C6-$E6)-$D6</f>
        <v/>
      </c>
      <c r="G6">
        <f>$F6*$B6</f>
        <v/>
      </c>
      <c r="H6">
        <f>IF($B6=0,0,MAX(0,INPUTS!$B$13*INPUTS!$B$4-INPUTS!$B$5))</f>
        <v/>
      </c>
      <c r="I6">
        <f>MIN(1,SUM($H$2:$H6)/INPUTS!$B$17)</f>
        <v/>
      </c>
      <c r="J6">
        <f>IF($B6=0,0,INPUTS!$B$2*(1-$I6*INPUTS!$B$14))</f>
        <v/>
      </c>
      <c r="K6">
        <f>($C6-$J6)-$H6</f>
        <v/>
      </c>
      <c r="L6">
        <f>$K6*$B6</f>
        <v/>
      </c>
    </row>
    <row r="7">
      <c r="A7" t="n">
        <v>6</v>
      </c>
      <c r="B7">
        <f>IF($A7&lt;=INPUTS!$B$16,1/(1+INPUTS!$B$15)^$A7,0)</f>
        <v/>
      </c>
      <c r="C7">
        <f>IF($B7=0,0,INPUTS!$B$2)</f>
        <v/>
      </c>
      <c r="D7">
        <f>IF(AND($B7&gt;0,$A7&lt;=3),INPUTS!$B$12*INPUTS!$B$7*INPUTS!$B$11/3,0)</f>
        <v/>
      </c>
      <c r="E7">
        <f>IF($B7=0,0,INPUTS!$B$2*(1-MIN($A7/3,1)*INPUTS!$B$12*INPUTS!$B$10))</f>
        <v/>
      </c>
      <c r="F7">
        <f>($C7-$E7)-$D7</f>
        <v/>
      </c>
      <c r="G7">
        <f>$F7*$B7</f>
        <v/>
      </c>
      <c r="H7">
        <f>IF($B7=0,0,MAX(0,INPUTS!$B$13*INPUTS!$B$4-INPUTS!$B$5))</f>
        <v/>
      </c>
      <c r="I7">
        <f>MIN(1,SUM($H$2:$H7)/INPUTS!$B$17)</f>
        <v/>
      </c>
      <c r="J7">
        <f>IF($B7=0,0,INPUTS!$B$2*(1-$I7*INPUTS!$B$14))</f>
        <v/>
      </c>
      <c r="K7">
        <f>($C7-$J7)-$H7</f>
        <v/>
      </c>
      <c r="L7">
        <f>$K7*$B7</f>
        <v/>
      </c>
    </row>
    <row r="8">
      <c r="A8" t="n">
        <v>7</v>
      </c>
      <c r="B8">
        <f>IF($A8&lt;=INPUTS!$B$16,1/(1+INPUTS!$B$15)^$A8,0)</f>
        <v/>
      </c>
      <c r="C8">
        <f>IF($B8=0,0,INPUTS!$B$2)</f>
        <v/>
      </c>
      <c r="D8">
        <f>IF(AND($B8&gt;0,$A8&lt;=3),INPUTS!$B$12*INPUTS!$B$7*INPUTS!$B$11/3,0)</f>
        <v/>
      </c>
      <c r="E8">
        <f>IF($B8=0,0,INPUTS!$B$2*(1-MIN($A8/3,1)*INPUTS!$B$12*INPUTS!$B$10))</f>
        <v/>
      </c>
      <c r="F8">
        <f>($C8-$E8)-$D8</f>
        <v/>
      </c>
      <c r="G8">
        <f>$F8*$B8</f>
        <v/>
      </c>
      <c r="H8">
        <f>IF($B8=0,0,MAX(0,INPUTS!$B$13*INPUTS!$B$4-INPUTS!$B$5))</f>
        <v/>
      </c>
      <c r="I8">
        <f>MIN(1,SUM($H$2:$H8)/INPUTS!$B$17)</f>
        <v/>
      </c>
      <c r="J8">
        <f>IF($B8=0,0,INPUTS!$B$2*(1-$I8*INPUTS!$B$14))</f>
        <v/>
      </c>
      <c r="K8">
        <f>($C8-$J8)-$H8</f>
        <v/>
      </c>
      <c r="L8">
        <f>$K8*$B8</f>
        <v/>
      </c>
    </row>
    <row r="9">
      <c r="A9" t="n">
        <v>8</v>
      </c>
      <c r="B9">
        <f>IF($A9&lt;=INPUTS!$B$16,1/(1+INPUTS!$B$15)^$A9,0)</f>
        <v/>
      </c>
      <c r="C9">
        <f>IF($B9=0,0,INPUTS!$B$2)</f>
        <v/>
      </c>
      <c r="D9">
        <f>IF(AND($B9&gt;0,$A9&lt;=3),INPUTS!$B$12*INPUTS!$B$7*INPUTS!$B$11/3,0)</f>
        <v/>
      </c>
      <c r="E9">
        <f>IF($B9=0,0,INPUTS!$B$2*(1-MIN($A9/3,1)*INPUTS!$B$12*INPUTS!$B$10))</f>
        <v/>
      </c>
      <c r="F9">
        <f>($C9-$E9)-$D9</f>
        <v/>
      </c>
      <c r="G9">
        <f>$F9*$B9</f>
        <v/>
      </c>
      <c r="H9">
        <f>IF($B9=0,0,MAX(0,INPUTS!$B$13*INPUTS!$B$4-INPUTS!$B$5))</f>
        <v/>
      </c>
      <c r="I9">
        <f>MIN(1,SUM($H$2:$H9)/INPUTS!$B$17)</f>
        <v/>
      </c>
      <c r="J9">
        <f>IF($B9=0,0,INPUTS!$B$2*(1-$I9*INPUTS!$B$14))</f>
        <v/>
      </c>
      <c r="K9">
        <f>($C9-$J9)-$H9</f>
        <v/>
      </c>
      <c r="L9">
        <f>$K9*$B9</f>
        <v/>
      </c>
    </row>
    <row r="10">
      <c r="A10" t="n">
        <v>9</v>
      </c>
      <c r="B10">
        <f>IF($A10&lt;=INPUTS!$B$16,1/(1+INPUTS!$B$15)^$A10,0)</f>
        <v/>
      </c>
      <c r="C10">
        <f>IF($B10=0,0,INPUTS!$B$2)</f>
        <v/>
      </c>
      <c r="D10">
        <f>IF(AND($B10&gt;0,$A10&lt;=3),INPUTS!$B$12*INPUTS!$B$7*INPUTS!$B$11/3,0)</f>
        <v/>
      </c>
      <c r="E10">
        <f>IF($B10=0,0,INPUTS!$B$2*(1-MIN($A10/3,1)*INPUTS!$B$12*INPUTS!$B$10))</f>
        <v/>
      </c>
      <c r="F10">
        <f>($C10-$E10)-$D10</f>
        <v/>
      </c>
      <c r="G10">
        <f>$F10*$B10</f>
        <v/>
      </c>
      <c r="H10">
        <f>IF($B10=0,0,MAX(0,INPUTS!$B$13*INPUTS!$B$4-INPUTS!$B$5))</f>
        <v/>
      </c>
      <c r="I10">
        <f>MIN(1,SUM($H$2:$H10)/INPUTS!$B$17)</f>
        <v/>
      </c>
      <c r="J10">
        <f>IF($B10=0,0,INPUTS!$B$2*(1-$I10*INPUTS!$B$14))</f>
        <v/>
      </c>
      <c r="K10">
        <f>($C10-$J10)-$H10</f>
        <v/>
      </c>
      <c r="L10">
        <f>$K10*$B10</f>
        <v/>
      </c>
    </row>
    <row r="11">
      <c r="A11" t="n">
        <v>10</v>
      </c>
      <c r="B11">
        <f>IF($A11&lt;=INPUTS!$B$16,1/(1+INPUTS!$B$15)^$A11,0)</f>
        <v/>
      </c>
      <c r="C11">
        <f>IF($B11=0,0,INPUTS!$B$2)</f>
        <v/>
      </c>
      <c r="D11">
        <f>IF(AND($B11&gt;0,$A11&lt;=3),INPUTS!$B$12*INPUTS!$B$7*INPUTS!$B$11/3,0)</f>
        <v/>
      </c>
      <c r="E11">
        <f>IF($B11=0,0,INPUTS!$B$2*(1-MIN($A11/3,1)*INPUTS!$B$12*INPUTS!$B$10))</f>
        <v/>
      </c>
      <c r="F11">
        <f>($C11-$E11)-$D11</f>
        <v/>
      </c>
      <c r="G11">
        <f>$F11*$B11</f>
        <v/>
      </c>
      <c r="H11">
        <f>IF($B11=0,0,MAX(0,INPUTS!$B$13*INPUTS!$B$4-INPUTS!$B$5))</f>
        <v/>
      </c>
      <c r="I11">
        <f>MIN(1,SUM($H$2:$H11)/INPUTS!$B$17)</f>
        <v/>
      </c>
      <c r="J11">
        <f>IF($B11=0,0,INPUTS!$B$2*(1-$I11*INPUTS!$B$14))</f>
        <v/>
      </c>
      <c r="K11">
        <f>($C11-$J11)-$H11</f>
        <v/>
      </c>
      <c r="L11">
        <f>$K11*$B11</f>
        <v/>
      </c>
    </row>
    <row r="12">
      <c r="A12" t="n">
        <v>11</v>
      </c>
      <c r="B12">
        <f>IF($A12&lt;=INPUTS!$B$16,1/(1+INPUTS!$B$15)^$A12,0)</f>
        <v/>
      </c>
      <c r="C12">
        <f>IF($B12=0,0,INPUTS!$B$2)</f>
        <v/>
      </c>
      <c r="D12">
        <f>IF(AND($B12&gt;0,$A12&lt;=3),INPUTS!$B$12*INPUTS!$B$7*INPUTS!$B$11/3,0)</f>
        <v/>
      </c>
      <c r="E12">
        <f>IF($B12=0,0,INPUTS!$B$2*(1-MIN($A12/3,1)*INPUTS!$B$12*INPUTS!$B$10))</f>
        <v/>
      </c>
      <c r="F12">
        <f>($C12-$E12)-$D12</f>
        <v/>
      </c>
      <c r="G12">
        <f>$F12*$B12</f>
        <v/>
      </c>
      <c r="H12">
        <f>IF($B12=0,0,MAX(0,INPUTS!$B$13*INPUTS!$B$4-INPUTS!$B$5))</f>
        <v/>
      </c>
      <c r="I12">
        <f>MIN(1,SUM($H$2:$H12)/INPUTS!$B$17)</f>
        <v/>
      </c>
      <c r="J12">
        <f>IF($B12=0,0,INPUTS!$B$2*(1-$I12*INPUTS!$B$14))</f>
        <v/>
      </c>
      <c r="K12">
        <f>($C12-$J12)-$H12</f>
        <v/>
      </c>
      <c r="L12">
        <f>$K12*$B12</f>
        <v/>
      </c>
    </row>
    <row r="13">
      <c r="A13" t="n">
        <v>12</v>
      </c>
      <c r="B13">
        <f>IF($A13&lt;=INPUTS!$B$16,1/(1+INPUTS!$B$15)^$A13,0)</f>
        <v/>
      </c>
      <c r="C13">
        <f>IF($B13=0,0,INPUTS!$B$2)</f>
        <v/>
      </c>
      <c r="D13">
        <f>IF(AND($B13&gt;0,$A13&lt;=3),INPUTS!$B$12*INPUTS!$B$7*INPUTS!$B$11/3,0)</f>
        <v/>
      </c>
      <c r="E13">
        <f>IF($B13=0,0,INPUTS!$B$2*(1-MIN($A13/3,1)*INPUTS!$B$12*INPUTS!$B$10))</f>
        <v/>
      </c>
      <c r="F13">
        <f>($C13-$E13)-$D13</f>
        <v/>
      </c>
      <c r="G13">
        <f>$F13*$B13</f>
        <v/>
      </c>
      <c r="H13">
        <f>IF($B13=0,0,MAX(0,INPUTS!$B$13*INPUTS!$B$4-INPUTS!$B$5))</f>
        <v/>
      </c>
      <c r="I13">
        <f>MIN(1,SUM($H$2:$H13)/INPUTS!$B$17)</f>
        <v/>
      </c>
      <c r="J13">
        <f>IF($B13=0,0,INPUTS!$B$2*(1-$I13*INPUTS!$B$14))</f>
        <v/>
      </c>
      <c r="K13">
        <f>($C13-$J13)-$H13</f>
        <v/>
      </c>
      <c r="L13">
        <f>$K13*$B13</f>
        <v/>
      </c>
    </row>
    <row r="14">
      <c r="A14" t="n">
        <v>13</v>
      </c>
      <c r="B14">
        <f>IF($A14&lt;=INPUTS!$B$16,1/(1+INPUTS!$B$15)^$A14,0)</f>
        <v/>
      </c>
      <c r="C14">
        <f>IF($B14=0,0,INPUTS!$B$2)</f>
        <v/>
      </c>
      <c r="D14">
        <f>IF(AND($B14&gt;0,$A14&lt;=3),INPUTS!$B$12*INPUTS!$B$7*INPUTS!$B$11/3,0)</f>
        <v/>
      </c>
      <c r="E14">
        <f>IF($B14=0,0,INPUTS!$B$2*(1-MIN($A14/3,1)*INPUTS!$B$12*INPUTS!$B$10))</f>
        <v/>
      </c>
      <c r="F14">
        <f>($C14-$E14)-$D14</f>
        <v/>
      </c>
      <c r="G14">
        <f>$F14*$B14</f>
        <v/>
      </c>
      <c r="H14">
        <f>IF($B14=0,0,MAX(0,INPUTS!$B$13*INPUTS!$B$4-INPUTS!$B$5))</f>
        <v/>
      </c>
      <c r="I14">
        <f>MIN(1,SUM($H$2:$H14)/INPUTS!$B$17)</f>
        <v/>
      </c>
      <c r="J14">
        <f>IF($B14=0,0,INPUTS!$B$2*(1-$I14*INPUTS!$B$14))</f>
        <v/>
      </c>
      <c r="K14">
        <f>($C14-$J14)-$H14</f>
        <v/>
      </c>
      <c r="L14">
        <f>$K14*$B14</f>
        <v/>
      </c>
    </row>
    <row r="15">
      <c r="A15" t="n">
        <v>14</v>
      </c>
      <c r="B15">
        <f>IF($A15&lt;=INPUTS!$B$16,1/(1+INPUTS!$B$15)^$A15,0)</f>
        <v/>
      </c>
      <c r="C15">
        <f>IF($B15=0,0,INPUTS!$B$2)</f>
        <v/>
      </c>
      <c r="D15">
        <f>IF(AND($B15&gt;0,$A15&lt;=3),INPUTS!$B$12*INPUTS!$B$7*INPUTS!$B$11/3,0)</f>
        <v/>
      </c>
      <c r="E15">
        <f>IF($B15=0,0,INPUTS!$B$2*(1-MIN($A15/3,1)*INPUTS!$B$12*INPUTS!$B$10))</f>
        <v/>
      </c>
      <c r="F15">
        <f>($C15-$E15)-$D15</f>
        <v/>
      </c>
      <c r="G15">
        <f>$F15*$B15</f>
        <v/>
      </c>
      <c r="H15">
        <f>IF($B15=0,0,MAX(0,INPUTS!$B$13*INPUTS!$B$4-INPUTS!$B$5))</f>
        <v/>
      </c>
      <c r="I15">
        <f>MIN(1,SUM($H$2:$H15)/INPUTS!$B$17)</f>
        <v/>
      </c>
      <c r="J15">
        <f>IF($B15=0,0,INPUTS!$B$2*(1-$I15*INPUTS!$B$14))</f>
        <v/>
      </c>
      <c r="K15">
        <f>($C15-$J15)-$H15</f>
        <v/>
      </c>
      <c r="L15">
        <f>$K15*$B15</f>
        <v/>
      </c>
    </row>
    <row r="16">
      <c r="A16" t="n">
        <v>15</v>
      </c>
      <c r="B16">
        <f>IF($A16&lt;=INPUTS!$B$16,1/(1+INPUTS!$B$15)^$A16,0)</f>
        <v/>
      </c>
      <c r="C16">
        <f>IF($B16=0,0,INPUTS!$B$2)</f>
        <v/>
      </c>
      <c r="D16">
        <f>IF(AND($B16&gt;0,$A16&lt;=3),INPUTS!$B$12*INPUTS!$B$7*INPUTS!$B$11/3,0)</f>
        <v/>
      </c>
      <c r="E16">
        <f>IF($B16=0,0,INPUTS!$B$2*(1-MIN($A16/3,1)*INPUTS!$B$12*INPUTS!$B$10))</f>
        <v/>
      </c>
      <c r="F16">
        <f>($C16-$E16)-$D16</f>
        <v/>
      </c>
      <c r="G16">
        <f>$F16*$B16</f>
        <v/>
      </c>
      <c r="H16">
        <f>IF($B16=0,0,MAX(0,INPUTS!$B$13*INPUTS!$B$4-INPUTS!$B$5))</f>
        <v/>
      </c>
      <c r="I16">
        <f>MIN(1,SUM($H$2:$H16)/INPUTS!$B$17)</f>
        <v/>
      </c>
      <c r="J16">
        <f>IF($B16=0,0,INPUTS!$B$2*(1-$I16*INPUTS!$B$14))</f>
        <v/>
      </c>
      <c r="K16">
        <f>($C16-$J16)-$H16</f>
        <v/>
      </c>
      <c r="L16">
        <f>$K16*$B16</f>
        <v/>
      </c>
    </row>
    <row r="17">
      <c r="A17" t="n">
        <v>16</v>
      </c>
      <c r="B17">
        <f>IF($A17&lt;=INPUTS!$B$16,1/(1+INPUTS!$B$15)^$A17,0)</f>
        <v/>
      </c>
      <c r="C17">
        <f>IF($B17=0,0,INPUTS!$B$2)</f>
        <v/>
      </c>
      <c r="D17">
        <f>IF(AND($B17&gt;0,$A17&lt;=3),INPUTS!$B$12*INPUTS!$B$7*INPUTS!$B$11/3,0)</f>
        <v/>
      </c>
      <c r="E17">
        <f>IF($B17=0,0,INPUTS!$B$2*(1-MIN($A17/3,1)*INPUTS!$B$12*INPUTS!$B$10))</f>
        <v/>
      </c>
      <c r="F17">
        <f>($C17-$E17)-$D17</f>
        <v/>
      </c>
      <c r="G17">
        <f>$F17*$B17</f>
        <v/>
      </c>
      <c r="H17">
        <f>IF($B17=0,0,MAX(0,INPUTS!$B$13*INPUTS!$B$4-INPUTS!$B$5))</f>
        <v/>
      </c>
      <c r="I17">
        <f>MIN(1,SUM($H$2:$H17)/INPUTS!$B$17)</f>
        <v/>
      </c>
      <c r="J17">
        <f>IF($B17=0,0,INPUTS!$B$2*(1-$I17*INPUTS!$B$14))</f>
        <v/>
      </c>
      <c r="K17">
        <f>($C17-$J17)-$H17</f>
        <v/>
      </c>
      <c r="L17">
        <f>$K17*$B17</f>
        <v/>
      </c>
    </row>
    <row r="18">
      <c r="A18" t="n">
        <v>17</v>
      </c>
      <c r="B18">
        <f>IF($A18&lt;=INPUTS!$B$16,1/(1+INPUTS!$B$15)^$A18,0)</f>
        <v/>
      </c>
      <c r="C18">
        <f>IF($B18=0,0,INPUTS!$B$2)</f>
        <v/>
      </c>
      <c r="D18">
        <f>IF(AND($B18&gt;0,$A18&lt;=3),INPUTS!$B$12*INPUTS!$B$7*INPUTS!$B$11/3,0)</f>
        <v/>
      </c>
      <c r="E18">
        <f>IF($B18=0,0,INPUTS!$B$2*(1-MIN($A18/3,1)*INPUTS!$B$12*INPUTS!$B$10))</f>
        <v/>
      </c>
      <c r="F18">
        <f>($C18-$E18)-$D18</f>
        <v/>
      </c>
      <c r="G18">
        <f>$F18*$B18</f>
        <v/>
      </c>
      <c r="H18">
        <f>IF($B18=0,0,MAX(0,INPUTS!$B$13*INPUTS!$B$4-INPUTS!$B$5))</f>
        <v/>
      </c>
      <c r="I18">
        <f>MIN(1,SUM($H$2:$H18)/INPUTS!$B$17)</f>
        <v/>
      </c>
      <c r="J18">
        <f>IF($B18=0,0,INPUTS!$B$2*(1-$I18*INPUTS!$B$14))</f>
        <v/>
      </c>
      <c r="K18">
        <f>($C18-$J18)-$H18</f>
        <v/>
      </c>
      <c r="L18">
        <f>$K18*$B18</f>
        <v/>
      </c>
    </row>
    <row r="19">
      <c r="A19" t="n">
        <v>18</v>
      </c>
      <c r="B19">
        <f>IF($A19&lt;=INPUTS!$B$16,1/(1+INPUTS!$B$15)^$A19,0)</f>
        <v/>
      </c>
      <c r="C19">
        <f>IF($B19=0,0,INPUTS!$B$2)</f>
        <v/>
      </c>
      <c r="D19">
        <f>IF(AND($B19&gt;0,$A19&lt;=3),INPUTS!$B$12*INPUTS!$B$7*INPUTS!$B$11/3,0)</f>
        <v/>
      </c>
      <c r="E19">
        <f>IF($B19=0,0,INPUTS!$B$2*(1-MIN($A19/3,1)*INPUTS!$B$12*INPUTS!$B$10))</f>
        <v/>
      </c>
      <c r="F19">
        <f>($C19-$E19)-$D19</f>
        <v/>
      </c>
      <c r="G19">
        <f>$F19*$B19</f>
        <v/>
      </c>
      <c r="H19">
        <f>IF($B19=0,0,MAX(0,INPUTS!$B$13*INPUTS!$B$4-INPUTS!$B$5))</f>
        <v/>
      </c>
      <c r="I19">
        <f>MIN(1,SUM($H$2:$H19)/INPUTS!$B$17)</f>
        <v/>
      </c>
      <c r="J19">
        <f>IF($B19=0,0,INPUTS!$B$2*(1-$I19*INPUTS!$B$14))</f>
        <v/>
      </c>
      <c r="K19">
        <f>($C19-$J19)-$H19</f>
        <v/>
      </c>
      <c r="L19">
        <f>$K19*$B19</f>
        <v/>
      </c>
    </row>
    <row r="20">
      <c r="A20" t="n">
        <v>19</v>
      </c>
      <c r="B20">
        <f>IF($A20&lt;=INPUTS!$B$16,1/(1+INPUTS!$B$15)^$A20,0)</f>
        <v/>
      </c>
      <c r="C20">
        <f>IF($B20=0,0,INPUTS!$B$2)</f>
        <v/>
      </c>
      <c r="D20">
        <f>IF(AND($B20&gt;0,$A20&lt;=3),INPUTS!$B$12*INPUTS!$B$7*INPUTS!$B$11/3,0)</f>
        <v/>
      </c>
      <c r="E20">
        <f>IF($B20=0,0,INPUTS!$B$2*(1-MIN($A20/3,1)*INPUTS!$B$12*INPUTS!$B$10))</f>
        <v/>
      </c>
      <c r="F20">
        <f>($C20-$E20)-$D20</f>
        <v/>
      </c>
      <c r="G20">
        <f>$F20*$B20</f>
        <v/>
      </c>
      <c r="H20">
        <f>IF($B20=0,0,MAX(0,INPUTS!$B$13*INPUTS!$B$4-INPUTS!$B$5))</f>
        <v/>
      </c>
      <c r="I20">
        <f>MIN(1,SUM($H$2:$H20)/INPUTS!$B$17)</f>
        <v/>
      </c>
      <c r="J20">
        <f>IF($B20=0,0,INPUTS!$B$2*(1-$I20*INPUTS!$B$14))</f>
        <v/>
      </c>
      <c r="K20">
        <f>($C20-$J20)-$H20</f>
        <v/>
      </c>
      <c r="L20">
        <f>$K20*$B20</f>
        <v/>
      </c>
    </row>
    <row r="21">
      <c r="A21" t="n">
        <v>20</v>
      </c>
      <c r="B21">
        <f>IF($A21&lt;=INPUTS!$B$16,1/(1+INPUTS!$B$15)^$A21,0)</f>
        <v/>
      </c>
      <c r="C21">
        <f>IF($B21=0,0,INPUTS!$B$2)</f>
        <v/>
      </c>
      <c r="D21">
        <f>IF(AND($B21&gt;0,$A21&lt;=3),INPUTS!$B$12*INPUTS!$B$7*INPUTS!$B$11/3,0)</f>
        <v/>
      </c>
      <c r="E21">
        <f>IF($B21=0,0,INPUTS!$B$2*(1-MIN($A21/3,1)*INPUTS!$B$12*INPUTS!$B$10))</f>
        <v/>
      </c>
      <c r="F21">
        <f>($C21-$E21)-$D21</f>
        <v/>
      </c>
      <c r="G21">
        <f>$F21*$B21</f>
        <v/>
      </c>
      <c r="H21">
        <f>IF($B21=0,0,MAX(0,INPUTS!$B$13*INPUTS!$B$4-INPUTS!$B$5))</f>
        <v/>
      </c>
      <c r="I21">
        <f>MIN(1,SUM($H$2:$H21)/INPUTS!$B$17)</f>
        <v/>
      </c>
      <c r="J21">
        <f>IF($B21=0,0,INPUTS!$B$2*(1-$I21*INPUTS!$B$14))</f>
        <v/>
      </c>
      <c r="K21">
        <f>($C21-$J21)-$H21</f>
        <v/>
      </c>
      <c r="L21">
        <f>$K21*$B21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52" customWidth="1" min="1" max="1"/>
  </cols>
  <sheetData>
    <row r="1">
      <c r="A1" t="inlineStr">
        <is>
          <t>Headline</t>
        </is>
      </c>
      <c r="B1" t="inlineStr">
        <is>
          <t>Value</t>
        </is>
      </c>
    </row>
    <row r="2">
      <c r="A2" t="inlineStr">
        <is>
          <t>NPV Option B vs do-nothing (Python base = NPV tab)</t>
        </is>
      </c>
      <c r="B2" t="n">
        <v>-11019978</v>
      </c>
    </row>
    <row r="3">
      <c r="A3" t="inlineStr">
        <is>
          <t>NPV, replacement acceleration (C) vs do nothing</t>
        </is>
      </c>
      <c r="B3">
        <f>NPV!$O$2</f>
        <v/>
      </c>
    </row>
    <row r="4">
      <c r="A4" t="inlineStr">
        <is>
          <t>E1 effectiveness assumption driving B</t>
        </is>
      </c>
      <c r="B4">
        <f>INPUTS!$B$10</f>
        <v/>
      </c>
    </row>
    <row r="5">
      <c r="A5" t="inlineStr">
        <is>
          <t>Memo rule: cite ONLY cells on this tab.</t>
        </is>
      </c>
      <c r="B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Hand-build per spec: 2015-21 series detail, severity distribution incl. L4 tail.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Hand-build per spec: per-option cost detail; NPV tab holds v0 math.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6" max="6"/>
  </cols>
  <sheetData>
    <row r="1">
      <c r="A1" t="inlineStr">
        <is>
          <t>TORNADO (Python-computed; ranges trace to assumptions-log IDs; E1 floored at 0.0 per LA natural experiment)</t>
        </is>
      </c>
    </row>
    <row r="3">
      <c r="A3" t="inlineStr">
        <is>
          <t>Input</t>
        </is>
      </c>
      <c r="B3" t="inlineStr">
        <is>
          <t>Low NPV_B</t>
        </is>
      </c>
      <c r="C3" t="inlineStr">
        <is>
          <t>High NPV_B</t>
        </is>
      </c>
      <c r="D3" t="inlineStr">
        <is>
          <t>Swing</t>
        </is>
      </c>
      <c r="E3" t="inlineStr">
        <is>
          <t>Base NPV_B</t>
        </is>
      </c>
      <c r="F3" t="inlineStr">
        <is>
          <t>Range rationale</t>
        </is>
      </c>
    </row>
    <row r="4">
      <c r="A4" t="inlineStr">
        <is>
          <t>Cost per location mitigated</t>
        </is>
      </c>
      <c r="B4" t="n">
        <v>-3807019</v>
      </c>
      <c r="C4" t="n">
        <v>-25445896</v>
      </c>
      <c r="D4" t="n">
        <v>21638877</v>
      </c>
      <c r="E4" t="n">
        <v>-11019978</v>
      </c>
      <c r="F4" t="inlineStr">
        <is>
          <t>E1b ESTIMATE anchored to B5 ramping-crew cost; log rule: every ESTIMATE stays in the tornado</t>
        </is>
      </c>
    </row>
    <row r="5">
      <c r="A5" t="inlineStr">
        <is>
          <t>Option B rollout share</t>
        </is>
      </c>
      <c r="B5" t="n">
        <v>-5509989</v>
      </c>
      <c r="C5" t="n">
        <v>-16529967</v>
      </c>
      <c r="D5" t="n">
        <v>11019978</v>
      </c>
      <c r="E5" t="n">
        <v>-11019978</v>
      </c>
      <c r="F5" t="inlineStr">
        <is>
          <t>policy lever, not uncertainty - shown for completeness; scenario axis in the memo</t>
        </is>
      </c>
    </row>
    <row r="6">
      <c r="A6" t="inlineStr">
        <is>
          <t>E1 mitigation effectiveness</t>
        </is>
      </c>
      <c r="B6" t="n">
        <v>-14425918</v>
      </c>
      <c r="C6" t="n">
        <v>-8749352</v>
      </c>
      <c r="D6" t="n">
        <v>5676566</v>
      </c>
      <c r="E6" t="n">
        <v>-11019978</v>
      </c>
      <c r="F6" t="inlineStr">
        <is>
          <t>floor 0.0 = LA untargeted downside (E1 evidence base); 0.50 targeted upper remains a guess</t>
        </is>
      </c>
    </row>
    <row r="7">
      <c r="A7" t="inlineStr">
        <is>
          <t>Horizon (years)</t>
        </is>
      </c>
      <c r="B7" t="n">
        <v>-12797701</v>
      </c>
      <c r="C7" t="n">
        <v>-8163706</v>
      </c>
      <c r="D7" t="n">
        <v>4633995</v>
      </c>
      <c r="E7" t="n">
        <v>-11019978</v>
      </c>
      <c r="F7" t="inlineStr">
        <is>
          <t>F2; vs B9 50-75yr useful life</t>
        </is>
      </c>
    </row>
    <row r="8">
      <c r="A8" t="inlineStr">
        <is>
          <t>Baseline annual claims</t>
        </is>
      </c>
      <c r="B8" t="n">
        <v>-11701166</v>
      </c>
      <c r="C8" t="n">
        <v>-10475028</v>
      </c>
      <c r="D8" t="n">
        <v>1226138</v>
      </c>
      <c r="E8" t="n">
        <v>-11019978</v>
      </c>
      <c r="F8" t="inlineStr">
        <is>
          <t>L1 2015-21 avg to L3 FY23 high</t>
        </is>
      </c>
    </row>
    <row r="9">
      <c r="A9" t="inlineStr">
        <is>
          <t>Discount rate</t>
        </is>
      </c>
      <c r="B9" t="n">
        <v>-11103934</v>
      </c>
      <c r="C9" t="n">
        <v>-10634790</v>
      </c>
      <c r="D9" t="n">
        <v>469145</v>
      </c>
      <c r="E9" t="n">
        <v>-11019978</v>
      </c>
      <c r="F9" t="inlineStr">
        <is>
          <t>F1 regime flux: A-94 Appendix C ~2% to reinstated 7% base</t>
        </is>
      </c>
    </row>
    <row r="12">
      <c r="A12" t="inlineStr">
        <is>
          <t>TWO-WAY: NPV_B by E1 (rows) x $/location (cols). Rebuild as a live Excel Data Table in the hand-finished workbook (What-If Analysis; corner ='NPV'!O1, row input INPUTS!B11, col input INPUTS!B10).</t>
        </is>
      </c>
    </row>
    <row r="13">
      <c r="A13" t="inlineStr">
        <is>
          <t>E1 \ $loc</t>
        </is>
      </c>
      <c r="B13" t="n">
        <v>150</v>
      </c>
      <c r="C13" t="n">
        <v>250</v>
      </c>
      <c r="D13" t="n">
        <v>350</v>
      </c>
      <c r="E13" t="n">
        <v>450</v>
      </c>
      <c r="F13" t="n">
        <v>600</v>
      </c>
    </row>
    <row r="14">
      <c r="A14" t="n">
        <v>0</v>
      </c>
      <c r="B14" t="n">
        <v>-7212959</v>
      </c>
      <c r="C14" t="n">
        <v>-12021598</v>
      </c>
      <c r="D14" t="n">
        <v>-16830238</v>
      </c>
      <c r="E14" t="n">
        <v>-21638877</v>
      </c>
      <c r="F14" t="n">
        <v>-28851836</v>
      </c>
    </row>
    <row r="15">
      <c r="A15" t="n">
        <v>0.1</v>
      </c>
      <c r="B15" t="n">
        <v>-6077646</v>
      </c>
      <c r="C15" t="n">
        <v>-10886285</v>
      </c>
      <c r="D15" t="n">
        <v>-15694924</v>
      </c>
      <c r="E15" t="n">
        <v>-20503564</v>
      </c>
      <c r="F15" t="n">
        <v>-27716523</v>
      </c>
    </row>
    <row r="16">
      <c r="A16" t="n">
        <v>0.2</v>
      </c>
      <c r="B16" t="n">
        <v>-4942332</v>
      </c>
      <c r="C16" t="n">
        <v>-9750972</v>
      </c>
      <c r="D16" t="n">
        <v>-14559611</v>
      </c>
      <c r="E16" t="n">
        <v>-19368250</v>
      </c>
      <c r="F16" t="n">
        <v>-26581209</v>
      </c>
    </row>
    <row r="17">
      <c r="A17" t="n">
        <v>0.3</v>
      </c>
      <c r="B17" t="n">
        <v>-3807019</v>
      </c>
      <c r="C17" t="n">
        <v>-8615659</v>
      </c>
      <c r="D17" t="n">
        <v>-13424298</v>
      </c>
      <c r="E17" t="n">
        <v>-18232937</v>
      </c>
      <c r="F17" t="n">
        <v>-25445896</v>
      </c>
    </row>
    <row r="18">
      <c r="A18" t="n">
        <v>0.4</v>
      </c>
      <c r="B18" t="n">
        <v>-2671706</v>
      </c>
      <c r="C18" t="n">
        <v>-7480345</v>
      </c>
      <c r="D18" t="n">
        <v>-12288985</v>
      </c>
      <c r="E18" t="n">
        <v>-17097624</v>
      </c>
      <c r="F18" t="n">
        <v>-24310583</v>
      </c>
    </row>
    <row r="19">
      <c r="A19" t="n">
        <v>0.5</v>
      </c>
      <c r="B19" t="n">
        <v>-1536393</v>
      </c>
      <c r="C19" t="n">
        <v>-6345032</v>
      </c>
      <c r="D19" t="n">
        <v>-11153671</v>
      </c>
      <c r="E19" t="n">
        <v>-15962311</v>
      </c>
      <c r="F19" t="n">
        <v>-23175270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2026-07-23T18:11:43Z</dcterms:created>
  <dcterms:modified xsi:type="dcterms:W3CDTF">2026-07-23T18:11:43Z</dcterms:modified>
</cp:coreProperties>
</file>